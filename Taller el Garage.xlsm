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uario\Desktop\taller el garage2\"/>
    </mc:Choice>
  </mc:AlternateContent>
  <xr:revisionPtr revIDLastSave="0" documentId="13_ncr:1_{0DA05266-2D60-4A30-B1A2-B0D85BDE102E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TABLAS" sheetId="1" r:id="rId1"/>
    <sheet name="presupuesto" sheetId="4" r:id="rId2"/>
    <sheet name="IMPRIMIR" sheetId="2" r:id="rId3"/>
    <sheet name="IMPRIMIR_VEHICULO" sheetId="3" r:id="rId4"/>
  </sheets>
  <functionGroups builtInGroupCount="19"/>
  <definedNames>
    <definedName name="_xlcn.WorksheetConnection_TallerelGarage.xlsmclientes" hidden="1">clientes[]</definedName>
    <definedName name="_xlcn.WorksheetConnection_TallerelGarage.xlsmdatosVehiculos" hidden="1">datosVehiculos[]</definedName>
    <definedName name="_xlcn.WorksheetConnection_TallerelGarage.xlsmpresupuesto" hidden="1">presupuesto[]</definedName>
    <definedName name="_xlnm.Print_Area" localSheetId="1">presupuesto!$A$1:$F$69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upuesto" name="presupuesto" connection="WorksheetConnection_Taller el Garage.xlsm!presupuesto"/>
          <x15:modelTable id="datosVehiculos" name="datosVehiculos" connection="WorksheetConnection_Taller el Garage.xlsm!datosVehiculos"/>
          <x15:modelTable id="clientes" name="clientes" connection="WorksheetConnection_Taller el Garage.xlsm!clientes"/>
        </x15:modelTables>
        <x15:modelRelationships>
          <x15:modelRelationship fromTable="presupuesto" fromColumn="idCliente" toTable="clientes" toColumn="idCliente"/>
          <x15:modelRelationship fromTable="presupuesto" fromColumn="Idvehiculo" toTable="datosVehiculos" toColumn="idVehicul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4" l="1"/>
  <c r="B14" i="4"/>
  <c r="B13" i="4"/>
  <c r="B12" i="4"/>
  <c r="B11" i="4"/>
  <c r="E11" i="4"/>
  <c r="E13" i="4"/>
  <c r="E15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1" i="4"/>
  <c r="F22" i="4"/>
  <c r="F23" i="4"/>
  <c r="F24" i="4"/>
  <c r="F25" i="4"/>
  <c r="F26" i="4"/>
  <c r="F27" i="4"/>
  <c r="F28" i="4"/>
  <c r="F29" i="4"/>
  <c r="F18" i="4" l="1"/>
  <c r="F19" i="4"/>
  <c r="F20" i="4"/>
  <c r="F7" i="4"/>
  <c r="H2" i="4" l="1"/>
  <c r="F8" i="4"/>
  <c r="F58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Taller el Garage.xlsm!clientes" type="102" refreshedVersion="6" minRefreshableVersion="5">
    <extLst>
      <ext xmlns:x15="http://schemas.microsoft.com/office/spreadsheetml/2010/11/main" uri="{DE250136-89BD-433C-8126-D09CA5730AF9}">
        <x15:connection id="clientes">
          <x15:rangePr sourceName="_xlcn.WorksheetConnection_TallerelGarage.xlsmclientes"/>
        </x15:connection>
      </ext>
    </extLst>
  </connection>
  <connection id="3" xr16:uid="{00000000-0015-0000-FFFF-FFFF02000000}" name="WorksheetConnection_Taller el Garage.xlsm!datosVehiculos" type="102" refreshedVersion="6" minRefreshableVersion="5">
    <extLst>
      <ext xmlns:x15="http://schemas.microsoft.com/office/spreadsheetml/2010/11/main" uri="{DE250136-89BD-433C-8126-D09CA5730AF9}">
        <x15:connection id="datosVehiculos">
          <x15:rangePr sourceName="_xlcn.WorksheetConnection_TallerelGarage.xlsmdatosVehiculos"/>
        </x15:connection>
      </ext>
    </extLst>
  </connection>
  <connection id="4" xr16:uid="{00000000-0015-0000-FFFF-FFFF03000000}" name="WorksheetConnection_Taller el Garage.xlsm!presupuesto" type="102" refreshedVersion="6" minRefreshableVersion="5">
    <extLst>
      <ext xmlns:x15="http://schemas.microsoft.com/office/spreadsheetml/2010/11/main" uri="{DE250136-89BD-433C-8126-D09CA5730AF9}">
        <x15:connection id="presupuesto">
          <x15:rangePr sourceName="_xlcn.WorksheetConnection_TallerelGarage.xlsmpresupuesto"/>
        </x15:connection>
      </ext>
    </extLst>
  </connection>
</connections>
</file>

<file path=xl/sharedStrings.xml><?xml version="1.0" encoding="utf-8"?>
<sst xmlns="http://schemas.openxmlformats.org/spreadsheetml/2006/main" count="159" uniqueCount="110">
  <si>
    <t>nroDni</t>
  </si>
  <si>
    <t>observaciones</t>
  </si>
  <si>
    <t>Nombre_apellido</t>
  </si>
  <si>
    <t>dominio</t>
  </si>
  <si>
    <t>marca</t>
  </si>
  <si>
    <t>nroMotor</t>
  </si>
  <si>
    <t>modelo</t>
  </si>
  <si>
    <t>nroChasis</t>
  </si>
  <si>
    <t>tipo</t>
  </si>
  <si>
    <t>vencimiento</t>
  </si>
  <si>
    <t>fechaEntreda</t>
  </si>
  <si>
    <t>observacionesEntrada</t>
  </si>
  <si>
    <t>nomApe_cedula</t>
  </si>
  <si>
    <t>domicilio_cedula</t>
  </si>
  <si>
    <t>localidad_cedula</t>
  </si>
  <si>
    <t>registroSeccional</t>
  </si>
  <si>
    <t>nroCedula2</t>
  </si>
  <si>
    <t>idCliente</t>
  </si>
  <si>
    <t>Kevin Saez</t>
  </si>
  <si>
    <t>José C. Paz</t>
  </si>
  <si>
    <t>Dr. Francisco Javier Muñiz 5736</t>
  </si>
  <si>
    <t>telefono</t>
  </si>
  <si>
    <t>Localidad</t>
  </si>
  <si>
    <t>Domicilio</t>
  </si>
  <si>
    <t>idVehiculo</t>
  </si>
  <si>
    <t>JOSÉ C. PAZ</t>
  </si>
  <si>
    <t>VRC627</t>
  </si>
  <si>
    <t>CHEVROLET</t>
  </si>
  <si>
    <t>A256A59606</t>
  </si>
  <si>
    <t>A149868</t>
  </si>
  <si>
    <t>CHEVY SS COUPE</t>
  </si>
  <si>
    <t>Nro:</t>
  </si>
  <si>
    <t>Vencimiento:</t>
  </si>
  <si>
    <t>PRESUPUESTO</t>
  </si>
  <si>
    <t>Nro</t>
  </si>
  <si>
    <t>Vehículo</t>
  </si>
  <si>
    <t>Dominio</t>
  </si>
  <si>
    <t>Marca:</t>
  </si>
  <si>
    <t>Modelo:</t>
  </si>
  <si>
    <t>Precio Unitario</t>
  </si>
  <si>
    <t>Total</t>
  </si>
  <si>
    <t>Cantidad</t>
  </si>
  <si>
    <t xml:space="preserve">Total = </t>
  </si>
  <si>
    <t>Fecha:</t>
  </si>
  <si>
    <t>Medios de pago</t>
  </si>
  <si>
    <t>Fecha de entrada</t>
  </si>
  <si>
    <t>Obsevaciones de entrada</t>
  </si>
  <si>
    <t>presupuesto</t>
  </si>
  <si>
    <t>idPresupuesto</t>
  </si>
  <si>
    <t>Adrian Rios</t>
  </si>
  <si>
    <t>moreno</t>
  </si>
  <si>
    <t>alvarez prado 2015</t>
  </si>
  <si>
    <t>kevinsaez10@gmail.com</t>
  </si>
  <si>
    <t>abbate adrian</t>
  </si>
  <si>
    <t>san miguel</t>
  </si>
  <si>
    <t>guanahani 5868</t>
  </si>
  <si>
    <t>adriangaston2019@hotmail.com</t>
  </si>
  <si>
    <t>baccaro mario</t>
  </si>
  <si>
    <t>genova 1501</t>
  </si>
  <si>
    <t>baccaromario78@gmail</t>
  </si>
  <si>
    <t>GDL056</t>
  </si>
  <si>
    <t>KGB470</t>
  </si>
  <si>
    <t>KGS676</t>
  </si>
  <si>
    <t>VOLKWAGEN</t>
  </si>
  <si>
    <t>GOL</t>
  </si>
  <si>
    <t>AVEO</t>
  </si>
  <si>
    <t>SAN MIGUEL</t>
  </si>
  <si>
    <t>BARRIONUEVO DANIEL</t>
  </si>
  <si>
    <t>GUANAHANI 6079</t>
  </si>
  <si>
    <t>DANIBARRIONUEVO924@GMAIL.COM</t>
  </si>
  <si>
    <t>VWB025</t>
  </si>
  <si>
    <t>FIAT</t>
  </si>
  <si>
    <t>UNO 70S</t>
  </si>
  <si>
    <t>NUÑEZ JUAN CARLOS</t>
  </si>
  <si>
    <t>FERNANDEZ DE OLIVEIRA 4555</t>
  </si>
  <si>
    <t>XX</t>
  </si>
  <si>
    <t>MORENO</t>
  </si>
  <si>
    <t>YBAÑEZ MATIAS</t>
  </si>
  <si>
    <t>titular</t>
  </si>
  <si>
    <t>x</t>
  </si>
  <si>
    <t xml:space="preserve">JOSE C PAZ </t>
  </si>
  <si>
    <t>EBM465</t>
  </si>
  <si>
    <t>MEGANE</t>
  </si>
  <si>
    <t>KEVIN SAEZ</t>
  </si>
  <si>
    <t>RENAULT</t>
  </si>
  <si>
    <t>545454</t>
  </si>
  <si>
    <t>98989898</t>
  </si>
  <si>
    <t>historial</t>
  </si>
  <si>
    <t>Taller el Garage</t>
  </si>
  <si>
    <t>Domicilio:</t>
  </si>
  <si>
    <t>Localidad:</t>
  </si>
  <si>
    <t>Cliente</t>
  </si>
  <si>
    <t>Nombre y apellido:</t>
  </si>
  <si>
    <t>Dni:</t>
  </si>
  <si>
    <t>Contacto</t>
  </si>
  <si>
    <t xml:space="preserve">Guanahani 5868 </t>
  </si>
  <si>
    <t>San Miguel</t>
  </si>
  <si>
    <t>11 - 2886 - 1094</t>
  </si>
  <si>
    <t>cliente</t>
  </si>
  <si>
    <t>15/09/2023</t>
  </si>
  <si>
    <t>ttttttttttttttttttttt</t>
  </si>
  <si>
    <t>C:\Users\Usuario\Desktop\taller el garage2\PRESUPUESTOS\23 - Kevin Saez -  VRC627 - 05-08-2023.pdf</t>
  </si>
  <si>
    <t xml:space="preserve">cacacacaca - 1 - 4000 - _x000D_
</t>
  </si>
  <si>
    <t>Ivan Saez</t>
  </si>
  <si>
    <t>zzz123</t>
  </si>
  <si>
    <t>dddddd</t>
  </si>
  <si>
    <t>13/12/2023</t>
  </si>
  <si>
    <t>xxxx</t>
  </si>
  <si>
    <t>C:\Users\Usuario\Desktop\taller el garage2\PRESUPUESTOS\3 - Adrian Rios -  KGS676 - 12-08-2023.pdf</t>
  </si>
  <si>
    <t xml:space="preserve">distribucion - 1 - 50000 - 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</si>
</sst>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&quot;$&quot;\ #,##0.00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Arial Rounded MT Bold"/>
      <family val="2"/>
    </font>
    <font>
      <u/>
      <sz val="20"/>
      <name val="Copperplate Gothic Bold"/>
      <family val="2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Bahnschrift"/>
      <family val="2"/>
    </font>
    <font>
      <b/>
      <sz val="14"/>
      <name val="Calibri"/>
      <family val="2"/>
      <scheme val="minor"/>
    </font>
    <font>
      <b/>
      <sz val="14"/>
      <name val="Courier New"/>
      <family val="3"/>
    </font>
    <font>
      <b/>
      <sz val="14"/>
      <color theme="1"/>
      <name val="Courier New"/>
      <family val="3"/>
    </font>
    <font>
      <sz val="14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4" tint="0.39997558519241921"/>
      </right>
      <top style="thin">
        <color theme="1"/>
      </top>
      <bottom style="thin">
        <color theme="1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 style="medium">
        <color indexed="64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indexed="64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indexed="64"/>
      </left>
      <right style="thin">
        <color theme="4" tint="-0.249977111117893"/>
      </right>
      <top style="thin">
        <color theme="4" tint="-0.249977111117893"/>
      </top>
      <bottom style="medium">
        <color indexed="64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medium">
        <color indexed="64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medium">
        <color indexed="64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indexed="64"/>
      </bottom>
      <diagonal/>
    </border>
    <border>
      <left style="thin">
        <color theme="4" tint="-0.249977111117893"/>
      </left>
      <right style="medium">
        <color indexed="64"/>
      </right>
      <top style="thin">
        <color theme="4" tint="-0.249977111117893"/>
      </top>
      <bottom style="medium">
        <color indexed="64"/>
      </bottom>
      <diagonal/>
    </border>
    <border>
      <left style="medium">
        <color indexed="64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/>
      <bottom style="medium">
        <color indexed="64"/>
      </bottom>
      <diagonal/>
    </border>
    <border>
      <left style="thin">
        <color theme="4" tint="-0.249977111117893"/>
      </left>
      <right style="medium">
        <color indexed="64"/>
      </right>
      <top/>
      <bottom style="thin">
        <color theme="4" tint="-0.249977111117893"/>
      </bottom>
      <diagonal/>
    </border>
    <border>
      <left style="medium">
        <color indexed="64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medium">
        <color indexed="64"/>
      </left>
      <right style="thin">
        <color theme="4" tint="-0.249977111117893"/>
      </right>
      <top/>
      <bottom style="medium">
        <color indexed="64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 style="medium">
        <color indexed="64"/>
      </bottom>
      <diagonal/>
    </border>
    <border>
      <left/>
      <right style="thin">
        <color theme="4" tint="-0.249977111117893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124">
    <xf numFmtId="0" fontId="0" fillId="0" borderId="0" xfId="0"/>
    <xf numFmtId="0" fontId="1" fillId="2" borderId="1" xfId="0" applyFont="1" applyFill="1" applyBorder="1"/>
    <xf numFmtId="0" fontId="2" fillId="3" borderId="2" xfId="0" applyFont="1" applyFill="1" applyBorder="1"/>
    <xf numFmtId="0" fontId="2" fillId="3" borderId="0" xfId="0" applyFont="1" applyFill="1"/>
    <xf numFmtId="0" fontId="3" fillId="2" borderId="1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164" fontId="0" fillId="0" borderId="0" xfId="1" applyFont="1" applyBorder="1" applyAlignment="1">
      <alignment horizontal="center"/>
    </xf>
    <xf numFmtId="164" fontId="0" fillId="0" borderId="0" xfId="1" applyFont="1" applyFill="1" applyBorder="1"/>
    <xf numFmtId="164" fontId="0" fillId="0" borderId="0" xfId="0" applyNumberFormat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165" fontId="0" fillId="0" borderId="12" xfId="1" applyNumberFormat="1" applyFont="1" applyFill="1" applyBorder="1" applyAlignment="1">
      <alignment horizontal="center"/>
    </xf>
    <xf numFmtId="0" fontId="0" fillId="0" borderId="20" xfId="0" applyBorder="1" applyAlignment="1">
      <alignment horizontal="center"/>
    </xf>
    <xf numFmtId="165" fontId="0" fillId="0" borderId="20" xfId="1" applyNumberFormat="1" applyFont="1" applyBorder="1" applyAlignment="1">
      <alignment horizontal="center"/>
    </xf>
    <xf numFmtId="0" fontId="5" fillId="5" borderId="28" xfId="0" applyFont="1" applyFill="1" applyBorder="1"/>
    <xf numFmtId="0" fontId="5" fillId="5" borderId="29" xfId="0" applyFont="1" applyFill="1" applyBorder="1"/>
    <xf numFmtId="0" fontId="7" fillId="0" borderId="11" xfId="0" applyFont="1" applyBorder="1"/>
    <xf numFmtId="0" fontId="7" fillId="0" borderId="20" xfId="0" applyFont="1" applyBorder="1" applyAlignment="1">
      <alignment horizontal="center"/>
    </xf>
    <xf numFmtId="165" fontId="7" fillId="0" borderId="20" xfId="1" applyNumberFormat="1" applyFont="1" applyBorder="1" applyAlignment="1">
      <alignment horizontal="center"/>
    </xf>
    <xf numFmtId="165" fontId="7" fillId="0" borderId="12" xfId="1" applyNumberFormat="1" applyFont="1" applyFill="1" applyBorder="1" applyAlignment="1">
      <alignment horizontal="center"/>
    </xf>
    <xf numFmtId="0" fontId="11" fillId="6" borderId="8" xfId="0" applyFont="1" applyFill="1" applyBorder="1"/>
    <xf numFmtId="0" fontId="11" fillId="5" borderId="8" xfId="0" applyFont="1" applyFill="1" applyBorder="1"/>
    <xf numFmtId="0" fontId="7" fillId="0" borderId="10" xfId="0" applyFont="1" applyBorder="1" applyAlignment="1">
      <alignment horizontal="center"/>
    </xf>
    <xf numFmtId="0" fontId="11" fillId="6" borderId="11" xfId="0" applyFont="1" applyFill="1" applyBorder="1"/>
    <xf numFmtId="0" fontId="11" fillId="5" borderId="11" xfId="0" applyFont="1" applyFill="1" applyBorder="1"/>
    <xf numFmtId="14" fontId="11" fillId="0" borderId="12" xfId="0" applyNumberFormat="1" applyFont="1" applyBorder="1" applyAlignment="1">
      <alignment horizontal="center"/>
    </xf>
    <xf numFmtId="0" fontId="11" fillId="6" borderId="16" xfId="0" applyFont="1" applyFill="1" applyBorder="1"/>
    <xf numFmtId="0" fontId="5" fillId="5" borderId="29" xfId="0" applyFont="1" applyFill="1" applyBorder="1" applyAlignment="1">
      <alignment horizontal="center"/>
    </xf>
    <xf numFmtId="0" fontId="5" fillId="5" borderId="31" xfId="0" applyFont="1" applyFill="1" applyBorder="1" applyAlignment="1">
      <alignment horizontal="center"/>
    </xf>
    <xf numFmtId="0" fontId="13" fillId="4" borderId="15" xfId="0" applyFont="1" applyFill="1" applyBorder="1"/>
    <xf numFmtId="0" fontId="13" fillId="4" borderId="23" xfId="0" applyFont="1" applyFill="1" applyBorder="1"/>
    <xf numFmtId="0" fontId="13" fillId="4" borderId="26" xfId="0" applyFont="1" applyFill="1" applyBorder="1" applyAlignment="1">
      <alignment horizontal="center"/>
    </xf>
    <xf numFmtId="0" fontId="16" fillId="0" borderId="0" xfId="0" applyFont="1"/>
    <xf numFmtId="0" fontId="7" fillId="0" borderId="0" xfId="0" applyFont="1" applyAlignment="1">
      <alignment horizontal="center"/>
    </xf>
    <xf numFmtId="0" fontId="7" fillId="0" borderId="12" xfId="0" applyFont="1" applyBorder="1"/>
    <xf numFmtId="0" fontId="13" fillId="5" borderId="7" xfId="0" applyFont="1" applyFill="1" applyBorder="1" applyAlignment="1">
      <alignment horizontal="center"/>
    </xf>
    <xf numFmtId="0" fontId="11" fillId="5" borderId="18" xfId="0" applyFont="1" applyFill="1" applyBorder="1"/>
    <xf numFmtId="0" fontId="11" fillId="5" borderId="19" xfId="0" applyFont="1" applyFill="1" applyBorder="1"/>
    <xf numFmtId="0" fontId="11" fillId="5" borderId="7" xfId="0" applyFont="1" applyFill="1" applyBorder="1"/>
    <xf numFmtId="0" fontId="11" fillId="5" borderId="7" xfId="0" applyFont="1" applyFill="1" applyBorder="1" applyAlignment="1">
      <alignment horizontal="center"/>
    </xf>
    <xf numFmtId="0" fontId="0" fillId="0" borderId="40" xfId="0" applyBorder="1"/>
    <xf numFmtId="164" fontId="0" fillId="0" borderId="42" xfId="1" applyFont="1" applyFill="1" applyBorder="1"/>
    <xf numFmtId="0" fontId="7" fillId="0" borderId="0" xfId="0" applyFont="1"/>
    <xf numFmtId="0" fontId="10" fillId="0" borderId="41" xfId="0" applyFont="1" applyBorder="1" applyAlignment="1">
      <alignment horizontal="left" vertical="center"/>
    </xf>
    <xf numFmtId="165" fontId="0" fillId="0" borderId="0" xfId="1" applyNumberFormat="1" applyFont="1" applyBorder="1" applyAlignment="1">
      <alignment horizontal="center"/>
    </xf>
    <xf numFmtId="165" fontId="0" fillId="0" borderId="40" xfId="1" applyNumberFormat="1" applyFont="1" applyBorder="1" applyAlignment="1">
      <alignment horizontal="center"/>
    </xf>
    <xf numFmtId="0" fontId="0" fillId="0" borderId="43" xfId="0" applyBorder="1" applyAlignment="1">
      <alignment horizontal="center"/>
    </xf>
    <xf numFmtId="164" fontId="11" fillId="0" borderId="39" xfId="1" applyFont="1" applyBorder="1" applyAlignment="1"/>
    <xf numFmtId="165" fontId="0" fillId="0" borderId="44" xfId="1" applyNumberFormat="1" applyFont="1" applyFill="1" applyBorder="1" applyAlignment="1">
      <alignment horizontal="center"/>
    </xf>
    <xf numFmtId="165" fontId="11" fillId="0" borderId="38" xfId="1" applyNumberFormat="1" applyFont="1" applyFill="1" applyBorder="1" applyAlignment="1">
      <alignment horizontal="center"/>
    </xf>
    <xf numFmtId="0" fontId="0" fillId="8" borderId="0" xfId="0" applyFill="1"/>
    <xf numFmtId="164" fontId="0" fillId="8" borderId="0" xfId="1" applyFont="1" applyFill="1" applyBorder="1" applyAlignment="1">
      <alignment horizontal="center"/>
    </xf>
    <xf numFmtId="164" fontId="0" fillId="8" borderId="42" xfId="1" applyFont="1" applyFill="1" applyBorder="1"/>
    <xf numFmtId="0" fontId="8" fillId="8" borderId="41" xfId="0" applyFont="1" applyFill="1" applyBorder="1" applyAlignment="1">
      <alignment vertical="center"/>
    </xf>
    <xf numFmtId="0" fontId="7" fillId="8" borderId="0" xfId="0" applyFont="1" applyFill="1"/>
    <xf numFmtId="0" fontId="0" fillId="8" borderId="41" xfId="0" applyFill="1" applyBorder="1"/>
    <xf numFmtId="0" fontId="1" fillId="0" borderId="1" xfId="0" applyFont="1" applyBorder="1"/>
    <xf numFmtId="0" fontId="3" fillId="0" borderId="1" xfId="0" applyFont="1" applyBorder="1"/>
    <xf numFmtId="0" fontId="17" fillId="3" borderId="2" xfId="0" applyFont="1" applyFill="1" applyBorder="1"/>
    <xf numFmtId="49" fontId="0" fillId="0" borderId="0" xfId="0" applyNumberFormat="1"/>
    <xf numFmtId="0" fontId="18" fillId="0" borderId="1" xfId="0" applyFont="1" applyBorder="1"/>
    <xf numFmtId="0" fontId="1" fillId="0" borderId="0" xfId="0" applyFont="1"/>
    <xf numFmtId="14" fontId="1" fillId="0" borderId="0" xfId="0" applyNumberFormat="1" applyFont="1"/>
    <xf numFmtId="0" fontId="3" fillId="0" borderId="0" xfId="0" applyFont="1"/>
    <xf numFmtId="0" fontId="3" fillId="0" borderId="0" xfId="0" applyFont="1" applyAlignment="1">
      <alignment wrapText="1"/>
    </xf>
    <xf numFmtId="14" fontId="0" fillId="0" borderId="0" xfId="0" applyNumberFormat="1"/>
    <xf numFmtId="0" fontId="0" fillId="0" borderId="0" xfId="0" applyAlignment="1">
      <alignment wrapText="1"/>
    </xf>
    <xf numFmtId="0" fontId="14" fillId="0" borderId="6" xfId="0" applyFont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 wrapText="1"/>
    </xf>
    <xf numFmtId="0" fontId="14" fillId="0" borderId="21" xfId="0" applyFont="1" applyBorder="1" applyAlignment="1">
      <alignment horizontal="center" wrapText="1"/>
    </xf>
    <xf numFmtId="0" fontId="14" fillId="0" borderId="22" xfId="0" applyFont="1" applyBorder="1" applyAlignment="1">
      <alignment horizontal="center" wrapText="1"/>
    </xf>
    <xf numFmtId="0" fontId="15" fillId="0" borderId="21" xfId="0" applyFont="1" applyBorder="1" applyAlignment="1">
      <alignment horizontal="center" wrapText="1"/>
    </xf>
    <xf numFmtId="0" fontId="15" fillId="0" borderId="22" xfId="0" applyFont="1" applyBorder="1" applyAlignment="1">
      <alignment horizontal="center" wrapText="1"/>
    </xf>
    <xf numFmtId="0" fontId="13" fillId="4" borderId="6" xfId="0" applyFont="1" applyFill="1" applyBorder="1" applyAlignment="1">
      <alignment horizontal="center" vertical="center"/>
    </xf>
    <xf numFmtId="0" fontId="9" fillId="8" borderId="41" xfId="0" applyFont="1" applyFill="1" applyBorder="1" applyAlignment="1">
      <alignment horizontal="center" vertical="center" wrapText="1"/>
    </xf>
    <xf numFmtId="0" fontId="9" fillId="8" borderId="0" xfId="0" applyFont="1" applyFill="1" applyAlignment="1">
      <alignment horizontal="center" vertical="center" wrapText="1"/>
    </xf>
    <xf numFmtId="0" fontId="11" fillId="0" borderId="8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165" fontId="0" fillId="0" borderId="8" xfId="1" applyNumberFormat="1" applyFont="1" applyFill="1" applyBorder="1" applyAlignment="1">
      <alignment horizontal="center" vertical="center" wrapText="1"/>
    </xf>
    <xf numFmtId="165" fontId="0" fillId="0" borderId="9" xfId="1" applyNumberFormat="1" applyFont="1" applyFill="1" applyBorder="1" applyAlignment="1">
      <alignment horizontal="center" vertical="center" wrapText="1"/>
    </xf>
    <xf numFmtId="165" fontId="0" fillId="0" borderId="10" xfId="1" applyNumberFormat="1" applyFont="1" applyFill="1" applyBorder="1" applyAlignment="1">
      <alignment horizontal="center" vertical="center" wrapText="1"/>
    </xf>
    <xf numFmtId="165" fontId="0" fillId="0" borderId="11" xfId="1" applyNumberFormat="1" applyFont="1" applyFill="1" applyBorder="1" applyAlignment="1">
      <alignment horizontal="center" vertical="center" wrapText="1"/>
    </xf>
    <xf numFmtId="165" fontId="0" fillId="0" borderId="0" xfId="1" applyNumberFormat="1" applyFont="1" applyFill="1" applyBorder="1" applyAlignment="1">
      <alignment horizontal="center" vertical="center" wrapText="1"/>
    </xf>
    <xf numFmtId="165" fontId="0" fillId="0" borderId="12" xfId="1" applyNumberFormat="1" applyFont="1" applyFill="1" applyBorder="1" applyAlignment="1">
      <alignment horizontal="center" vertical="center" wrapText="1"/>
    </xf>
    <xf numFmtId="165" fontId="0" fillId="0" borderId="16" xfId="1" applyNumberFormat="1" applyFont="1" applyFill="1" applyBorder="1" applyAlignment="1">
      <alignment horizontal="center" vertical="center" wrapText="1"/>
    </xf>
    <xf numFmtId="165" fontId="0" fillId="0" borderId="30" xfId="1" applyNumberFormat="1" applyFont="1" applyFill="1" applyBorder="1" applyAlignment="1">
      <alignment horizontal="center" vertical="center" wrapText="1"/>
    </xf>
    <xf numFmtId="165" fontId="0" fillId="0" borderId="17" xfId="1" applyNumberFormat="1" applyFont="1" applyFill="1" applyBorder="1" applyAlignment="1">
      <alignment horizontal="center" vertical="center" wrapText="1"/>
    </xf>
    <xf numFmtId="0" fontId="6" fillId="7" borderId="9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6" fillId="7" borderId="30" xfId="0" applyFont="1" applyFill="1" applyBorder="1" applyAlignment="1">
      <alignment horizontal="center" vertical="center"/>
    </xf>
    <xf numFmtId="0" fontId="6" fillId="7" borderId="17" xfId="0" applyFont="1" applyFill="1" applyBorder="1" applyAlignment="1">
      <alignment horizontal="center" vertical="center"/>
    </xf>
    <xf numFmtId="0" fontId="14" fillId="0" borderId="24" xfId="0" applyFont="1" applyBorder="1" applyAlignment="1">
      <alignment horizontal="center" wrapText="1"/>
    </xf>
    <xf numFmtId="0" fontId="14" fillId="0" borderId="25" xfId="0" applyFont="1" applyBorder="1" applyAlignment="1">
      <alignment horizontal="center" wrapText="1"/>
    </xf>
    <xf numFmtId="0" fontId="13" fillId="4" borderId="32" xfId="0" applyFont="1" applyFill="1" applyBorder="1" applyAlignment="1">
      <alignment horizontal="left" vertical="center"/>
    </xf>
    <xf numFmtId="0" fontId="13" fillId="4" borderId="33" xfId="0" applyFont="1" applyFill="1" applyBorder="1" applyAlignment="1">
      <alignment horizontal="left" vertical="center"/>
    </xf>
    <xf numFmtId="0" fontId="14" fillId="0" borderId="34" xfId="0" applyFont="1" applyBorder="1" applyAlignment="1">
      <alignment horizontal="center" vertical="center"/>
    </xf>
    <xf numFmtId="0" fontId="14" fillId="0" borderId="35" xfId="0" applyFont="1" applyBorder="1" applyAlignment="1">
      <alignment horizontal="center" vertical="center"/>
    </xf>
    <xf numFmtId="0" fontId="14" fillId="0" borderId="36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14" fontId="0" fillId="0" borderId="45" xfId="0" applyNumberFormat="1" applyBorder="1" applyAlignment="1">
      <alignment horizontal="center" vertical="center"/>
    </xf>
    <xf numFmtId="14" fontId="0" fillId="0" borderId="20" xfId="0" applyNumberFormat="1" applyBorder="1" applyAlignment="1">
      <alignment horizontal="center" vertical="center"/>
    </xf>
    <xf numFmtId="0" fontId="12" fillId="6" borderId="30" xfId="0" applyFont="1" applyFill="1" applyBorder="1" applyAlignment="1">
      <alignment horizontal="center"/>
    </xf>
    <xf numFmtId="0" fontId="11" fillId="5" borderId="11" xfId="0" applyFont="1" applyFill="1" applyBorder="1" applyAlignment="1">
      <alignment horizontal="left" vertical="center"/>
    </xf>
    <xf numFmtId="0" fontId="11" fillId="5" borderId="16" xfId="0" applyFont="1" applyFill="1" applyBorder="1" applyAlignment="1">
      <alignment horizontal="left" vertical="center"/>
    </xf>
    <xf numFmtId="14" fontId="11" fillId="0" borderId="12" xfId="0" applyNumberFormat="1" applyFont="1" applyBorder="1" applyAlignment="1">
      <alignment horizontal="center" vertical="center"/>
    </xf>
    <xf numFmtId="14" fontId="11" fillId="0" borderId="17" xfId="0" applyNumberFormat="1" applyFont="1" applyBorder="1" applyAlignment="1">
      <alignment horizontal="center" vertical="center"/>
    </xf>
    <xf numFmtId="0" fontId="12" fillId="6" borderId="0" xfId="0" applyFont="1" applyFill="1" applyAlignment="1">
      <alignment horizontal="left"/>
    </xf>
    <xf numFmtId="0" fontId="7" fillId="6" borderId="9" xfId="0" applyFont="1" applyFill="1" applyBorder="1" applyAlignment="1">
      <alignment horizontal="center"/>
    </xf>
    <xf numFmtId="0" fontId="15" fillId="0" borderId="26" xfId="0" applyFont="1" applyBorder="1" applyAlignment="1">
      <alignment horizontal="center" wrapText="1"/>
    </xf>
    <xf numFmtId="0" fontId="15" fillId="0" borderId="27" xfId="0" applyFont="1" applyBorder="1" applyAlignment="1">
      <alignment horizontal="center" wrapText="1"/>
    </xf>
  </cellXfs>
  <cellStyles count="2">
    <cellStyle name="Moneda" xfId="1" builtinId="4"/>
    <cellStyle name="Normal" xfId="0" builtinId="0"/>
  </cellStyles>
  <dxfs count="30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theme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1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openxmlformats.org/officeDocument/2006/relationships/theme" Target="theme/theme1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microsoft.com/office/2006/relationships/vbaProject" Target="vbaProject.bin"/><Relationship Id="rId10" Type="http://schemas.openxmlformats.org/officeDocument/2006/relationships/calcChain" Target="calcChain.xml"/><Relationship Id="rId19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34925</xdr:colOff>
      <xdr:row>0</xdr:row>
      <xdr:rowOff>0</xdr:rowOff>
    </xdr:from>
    <xdr:to>
      <xdr:col>0</xdr:col>
      <xdr:colOff>1809751</xdr:colOff>
      <xdr:row>5</xdr:row>
      <xdr:rowOff>18100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987447B-7AFE-224C-6690-AF6A6C9C9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" y="0"/>
          <a:ext cx="1774826" cy="1684975"/>
        </a:xfrm>
        <a:prstGeom prst="rect">
          <a:avLst/>
        </a:prstGeom>
      </xdr:spPr>
    </xdr:pic>
    <xdr:clientData/>
  </xdr:twoCellAnchor>
  <xdr:twoCellAnchor editAs="oneCell">
    <xdr:from>
      <xdr:col>2</xdr:col>
      <xdr:colOff>2498726</xdr:colOff>
      <xdr:row>6</xdr:row>
      <xdr:rowOff>152401</xdr:rowOff>
    </xdr:from>
    <xdr:to>
      <xdr:col>2</xdr:col>
      <xdr:colOff>3047999</xdr:colOff>
      <xdr:row>8</xdr:row>
      <xdr:rowOff>288924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7763495-2F92-85F6-EB4F-6077940B5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0851" y="2057401"/>
          <a:ext cx="549273" cy="549273"/>
        </a:xfrm>
        <a:prstGeom prst="rect">
          <a:avLst/>
        </a:prstGeom>
      </xdr:spPr>
    </xdr:pic>
    <xdr:clientData/>
  </xdr:twoCellAnchor>
  <xdr:twoCellAnchor editAs="oneCell">
    <xdr:from>
      <xdr:col>2</xdr:col>
      <xdr:colOff>2552700</xdr:colOff>
      <xdr:row>66</xdr:row>
      <xdr:rowOff>100990</xdr:rowOff>
    </xdr:from>
    <xdr:to>
      <xdr:col>2</xdr:col>
      <xdr:colOff>3143250</xdr:colOff>
      <xdr:row>68</xdr:row>
      <xdr:rowOff>126390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F0D5AB3-E2EF-DEF5-1993-DFD5A1BF4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4825" y="16341115"/>
          <a:ext cx="590550" cy="596900"/>
        </a:xfrm>
        <a:prstGeom prst="rect">
          <a:avLst/>
        </a:prstGeom>
      </xdr:spPr>
    </xdr:pic>
    <xdr:clientData/>
  </xdr:twoCellAnchor>
  <xdr:twoCellAnchor editAs="oneCell">
    <xdr:from>
      <xdr:col>3</xdr:col>
      <xdr:colOff>638175</xdr:colOff>
      <xdr:row>66</xdr:row>
      <xdr:rowOff>212725</xdr:rowOff>
    </xdr:from>
    <xdr:to>
      <xdr:col>4</xdr:col>
      <xdr:colOff>1152333</xdr:colOff>
      <xdr:row>68</xdr:row>
      <xdr:rowOff>53924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A8D0EBA-CCF0-3D36-5A5A-271FB77E8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3425" y="16452850"/>
          <a:ext cx="1530158" cy="412699"/>
        </a:xfrm>
        <a:prstGeom prst="rect">
          <a:avLst/>
        </a:prstGeom>
      </xdr:spPr>
    </xdr:pic>
    <xdr:clientData/>
  </xdr:twoCellAnchor>
  <xdr:twoCellAnchor editAs="oneCell">
    <xdr:from>
      <xdr:col>2</xdr:col>
      <xdr:colOff>1323975</xdr:colOff>
      <xdr:row>66</xdr:row>
      <xdr:rowOff>130175</xdr:rowOff>
    </xdr:from>
    <xdr:to>
      <xdr:col>2</xdr:col>
      <xdr:colOff>1811659</xdr:colOff>
      <xdr:row>68</xdr:row>
      <xdr:rowOff>52709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82A23BA1-EB12-6296-E616-8EC78AE49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6100" y="16370300"/>
          <a:ext cx="487684" cy="49403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osVehiculos" displayName="datosVehiculos" ref="I1:Q7" totalsRowShown="0">
  <autoFilter ref="I1:Q7" xr:uid="{00000000-0009-0000-0100-000001000000}"/>
  <tableColumns count="9">
    <tableColumn id="7" xr3:uid="{00000000-0010-0000-0000-000007000000}" name="idVehiculo"/>
    <tableColumn id="2" xr3:uid="{00000000-0010-0000-0000-000002000000}" name="idCliente"/>
    <tableColumn id="1" xr3:uid="{1E18E8C2-8703-44FD-ACF7-25FC58D6AAE7}" name="dominio" dataDxfId="29"/>
    <tableColumn id="5" xr3:uid="{49B2243B-1A2C-49B6-A24F-BA98CEBB537F}" name="modelo" dataDxfId="28"/>
    <tableColumn id="4" xr3:uid="{2566447D-E472-43E5-A7F5-A79E9C7E8ECE}" name="titular" dataDxfId="27"/>
    <tableColumn id="3" xr3:uid="{8D71B7EC-AC86-468B-B4B2-8EEA768752CD}" name="marca" dataDxfId="26"/>
    <tableColumn id="10" xr3:uid="{00000000-0010-0000-0000-00000A000000}" name="localidad_cedula" dataDxfId="25"/>
    <tableColumn id="16" xr3:uid="{00000000-0010-0000-0000-000010000000}" name="nroMotor" dataDxfId="24"/>
    <tableColumn id="17" xr3:uid="{00000000-0010-0000-0000-000011000000}" name="nroChasis" dataDxfId="2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es" displayName="clientes" ref="A1:G8" totalsRowShown="0" headerRowDxfId="22" dataDxfId="20" headerRowBorderDxfId="21" tableBorderDxfId="19" totalsRowBorderDxfId="18">
  <autoFilter ref="A1:G8" xr:uid="{00000000-0009-0000-0100-000002000000}"/>
  <tableColumns count="7">
    <tableColumn id="1" xr3:uid="{00000000-0010-0000-0100-000001000000}" name="idCliente" dataDxfId="17"/>
    <tableColumn id="2" xr3:uid="{00000000-0010-0000-0100-000002000000}" name="Nombre_apellido" dataDxfId="16"/>
    <tableColumn id="3" xr3:uid="{00000000-0010-0000-0100-000003000000}" name="nroDni" dataDxfId="15"/>
    <tableColumn id="4" xr3:uid="{00000000-0010-0000-0100-000004000000}" name="Localidad" dataDxfId="14"/>
    <tableColumn id="5" xr3:uid="{00000000-0010-0000-0100-000005000000}" name="Domicilio" dataDxfId="13"/>
    <tableColumn id="6" xr3:uid="{00000000-0010-0000-0100-000006000000}" name="observaciones" dataDxfId="12"/>
    <tableColumn id="7" xr3:uid="{00000000-0010-0000-0100-000007000000}" name="telefono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resupuesto" displayName="presupuesto" ref="S1:Y4" totalsRowShown="0" headerRowDxfId="10" dataDxfId="8" headerRowBorderDxfId="9" tableBorderDxfId="7">
  <autoFilter ref="S1:Y4" xr:uid="{00000000-0009-0000-0100-000003000000}"/>
  <tableColumns count="7">
    <tableColumn id="8" xr3:uid="{00000000-0010-0000-0200-000008000000}" name="idPresupuesto" dataDxfId="6"/>
    <tableColumn id="1" xr3:uid="{00000000-0010-0000-0200-000001000000}" name="cliente" dataDxfId="5"/>
    <tableColumn id="10" xr3:uid="{00000000-0010-0000-0200-00000A000000}" name="dominio" dataDxfId="4"/>
    <tableColumn id="3" xr3:uid="{00000000-0010-0000-0200-000003000000}" name="fechaEntreda" dataDxfId="3"/>
    <tableColumn id="4" xr3:uid="{00000000-0010-0000-0200-000004000000}" name="observacionesEntrada" dataDxfId="2"/>
    <tableColumn id="2" xr3:uid="{00000000-0010-0000-0200-000002000000}" name="presupuesto" dataDxfId="1"/>
    <tableColumn id="6" xr3:uid="{BAF637CE-D32D-49FD-990E-D57131AB8556}" name="historial" dataDxfId="0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8"/>
  <sheetViews>
    <sheetView topLeftCell="N1" workbookViewId="0">
      <selection activeCell="X3" sqref="X3"/>
    </sheetView>
  </sheetViews>
  <sheetFormatPr baseColWidth="10" defaultColWidth="55.140625" defaultRowHeight="15" x14ac:dyDescent="0.25"/>
  <cols>
    <col min="1" max="1" width="11.42578125" bestFit="1" customWidth="1"/>
    <col min="2" max="2" width="21.28515625" bestFit="1" customWidth="1"/>
    <col min="3" max="3" width="9.28515625" bestFit="1" customWidth="1"/>
    <col min="4" max="4" width="11.85546875" bestFit="1" customWidth="1"/>
    <col min="5" max="5" width="28.42578125" bestFit="1" customWidth="1"/>
    <col min="6" max="6" width="34.7109375" bestFit="1" customWidth="1"/>
    <col min="7" max="7" width="11" bestFit="1" customWidth="1"/>
    <col min="9" max="9" width="12.85546875" bestFit="1" customWidth="1"/>
    <col min="10" max="10" width="11.42578125" bestFit="1" customWidth="1"/>
    <col min="11" max="11" width="10.7109375" bestFit="1" customWidth="1"/>
    <col min="12" max="12" width="15.5703125" bestFit="1" customWidth="1"/>
    <col min="13" max="13" width="11.140625" bestFit="1" customWidth="1"/>
    <col min="14" max="14" width="12.5703125" bestFit="1" customWidth="1"/>
    <col min="15" max="15" width="18.140625" bestFit="1" customWidth="1"/>
    <col min="16" max="17" width="11.85546875" bestFit="1" customWidth="1"/>
    <col min="19" max="19" width="16.140625" bestFit="1" customWidth="1"/>
    <col min="20" max="20" width="11.42578125" bestFit="1" customWidth="1"/>
    <col min="21" max="21" width="10.7109375" bestFit="1" customWidth="1"/>
    <col min="22" max="22" width="15" bestFit="1" customWidth="1"/>
    <col min="23" max="23" width="22.85546875" bestFit="1" customWidth="1"/>
    <col min="24" max="24" width="93.85546875" bestFit="1" customWidth="1"/>
    <col min="25" max="25" width="29.140625" bestFit="1" customWidth="1"/>
  </cols>
  <sheetData>
    <row r="1" spans="1:25" x14ac:dyDescent="0.25">
      <c r="A1" s="1" t="s">
        <v>17</v>
      </c>
      <c r="B1" s="1" t="s">
        <v>2</v>
      </c>
      <c r="C1" s="1" t="s">
        <v>0</v>
      </c>
      <c r="D1" s="1" t="s">
        <v>22</v>
      </c>
      <c r="E1" s="1" t="s">
        <v>23</v>
      </c>
      <c r="F1" s="1" t="s">
        <v>1</v>
      </c>
      <c r="G1" s="4" t="s">
        <v>21</v>
      </c>
      <c r="I1" t="s">
        <v>24</v>
      </c>
      <c r="J1" t="s">
        <v>17</v>
      </c>
      <c r="K1" t="s">
        <v>3</v>
      </c>
      <c r="L1" t="s">
        <v>6</v>
      </c>
      <c r="M1" t="s">
        <v>78</v>
      </c>
      <c r="N1" t="s">
        <v>4</v>
      </c>
      <c r="O1" t="s">
        <v>14</v>
      </c>
      <c r="P1" t="s">
        <v>5</v>
      </c>
      <c r="Q1" t="s">
        <v>7</v>
      </c>
      <c r="S1" s="62" t="s">
        <v>48</v>
      </c>
      <c r="T1" s="62" t="s">
        <v>98</v>
      </c>
      <c r="U1" s="62" t="s">
        <v>3</v>
      </c>
      <c r="V1" s="62" t="s">
        <v>10</v>
      </c>
      <c r="W1" s="62" t="s">
        <v>11</v>
      </c>
      <c r="X1" s="63" t="s">
        <v>47</v>
      </c>
      <c r="Y1" s="66" t="s">
        <v>87</v>
      </c>
    </row>
    <row r="2" spans="1:25" ht="30" x14ac:dyDescent="0.25">
      <c r="A2" s="2">
        <v>1</v>
      </c>
      <c r="B2" s="2" t="s">
        <v>18</v>
      </c>
      <c r="C2" s="2">
        <v>29051128</v>
      </c>
      <c r="D2" s="2" t="s">
        <v>19</v>
      </c>
      <c r="E2" s="2" t="s">
        <v>20</v>
      </c>
      <c r="F2" s="8" t="s">
        <v>52</v>
      </c>
      <c r="G2" s="3">
        <v>1132010739</v>
      </c>
      <c r="I2">
        <v>1</v>
      </c>
      <c r="J2">
        <v>1</v>
      </c>
      <c r="K2" s="65" t="s">
        <v>26</v>
      </c>
      <c r="L2" s="65" t="s">
        <v>30</v>
      </c>
      <c r="M2" s="65" t="s">
        <v>18</v>
      </c>
      <c r="N2" s="65" t="s">
        <v>27</v>
      </c>
      <c r="O2" s="65" t="s">
        <v>25</v>
      </c>
      <c r="P2" s="65" t="s">
        <v>28</v>
      </c>
      <c r="Q2" s="65" t="s">
        <v>29</v>
      </c>
      <c r="S2" s="67">
        <v>1</v>
      </c>
      <c r="T2" s="67" t="s">
        <v>18</v>
      </c>
      <c r="U2" s="67" t="s">
        <v>26</v>
      </c>
      <c r="V2" s="68" t="s">
        <v>99</v>
      </c>
      <c r="W2" s="67" t="s">
        <v>100</v>
      </c>
      <c r="X2" s="69" t="s">
        <v>101</v>
      </c>
      <c r="Y2" s="70" t="s">
        <v>102</v>
      </c>
    </row>
    <row r="3" spans="1:25" x14ac:dyDescent="0.25">
      <c r="A3" s="64">
        <v>2</v>
      </c>
      <c r="B3" s="64" t="s">
        <v>49</v>
      </c>
      <c r="C3" s="64">
        <v>40997703</v>
      </c>
      <c r="D3" s="64" t="s">
        <v>50</v>
      </c>
      <c r="E3" s="64" t="s">
        <v>51</v>
      </c>
      <c r="F3" s="64"/>
      <c r="G3" s="64">
        <v>1150128842</v>
      </c>
      <c r="I3">
        <v>2</v>
      </c>
      <c r="J3">
        <v>2</v>
      </c>
      <c r="K3" s="65" t="s">
        <v>62</v>
      </c>
      <c r="L3" s="65" t="s">
        <v>65</v>
      </c>
      <c r="M3" s="65" t="s">
        <v>79</v>
      </c>
      <c r="N3" s="65" t="s">
        <v>27</v>
      </c>
      <c r="O3" s="65" t="s">
        <v>76</v>
      </c>
      <c r="P3" s="65" t="s">
        <v>79</v>
      </c>
      <c r="Q3" s="65" t="s">
        <v>79</v>
      </c>
      <c r="S3">
        <v>2</v>
      </c>
      <c r="T3" t="s">
        <v>103</v>
      </c>
      <c r="U3" t="s">
        <v>104</v>
      </c>
      <c r="V3" s="71">
        <v>44797</v>
      </c>
      <c r="W3" t="s">
        <v>105</v>
      </c>
    </row>
    <row r="4" spans="1:25" ht="30" x14ac:dyDescent="0.25">
      <c r="A4" s="64">
        <v>3</v>
      </c>
      <c r="B4" s="64" t="s">
        <v>53</v>
      </c>
      <c r="C4" s="64">
        <v>25521408</v>
      </c>
      <c r="D4" s="64" t="s">
        <v>54</v>
      </c>
      <c r="E4" s="64" t="s">
        <v>55</v>
      </c>
      <c r="F4" s="64" t="s">
        <v>56</v>
      </c>
      <c r="G4" s="64">
        <v>1128861094</v>
      </c>
      <c r="I4">
        <v>3</v>
      </c>
      <c r="J4">
        <v>3</v>
      </c>
      <c r="K4" s="65" t="s">
        <v>61</v>
      </c>
      <c r="L4" s="65" t="s">
        <v>65</v>
      </c>
      <c r="M4" s="65" t="s">
        <v>79</v>
      </c>
      <c r="N4" s="65" t="s">
        <v>27</v>
      </c>
      <c r="O4" s="65" t="s">
        <v>66</v>
      </c>
      <c r="P4" s="65" t="s">
        <v>79</v>
      </c>
      <c r="Q4" s="65" t="s">
        <v>79</v>
      </c>
      <c r="S4">
        <v>3</v>
      </c>
      <c r="T4" t="s">
        <v>49</v>
      </c>
      <c r="U4" t="s">
        <v>62</v>
      </c>
      <c r="V4" s="71" t="s">
        <v>106</v>
      </c>
      <c r="W4" t="s">
        <v>107</v>
      </c>
      <c r="X4" t="s">
        <v>108</v>
      </c>
      <c r="Y4" s="72" t="s">
        <v>109</v>
      </c>
    </row>
    <row r="5" spans="1:25" x14ac:dyDescent="0.25">
      <c r="A5" s="64">
        <v>4</v>
      </c>
      <c r="B5" s="64" t="s">
        <v>57</v>
      </c>
      <c r="C5" s="64">
        <v>13092962</v>
      </c>
      <c r="D5" s="8" t="s">
        <v>66</v>
      </c>
      <c r="E5" s="64" t="s">
        <v>58</v>
      </c>
      <c r="F5" s="64" t="s">
        <v>59</v>
      </c>
      <c r="G5" s="64">
        <v>1162476358</v>
      </c>
      <c r="I5">
        <v>4</v>
      </c>
      <c r="J5">
        <v>4</v>
      </c>
      <c r="K5" s="65" t="s">
        <v>60</v>
      </c>
      <c r="L5" s="65" t="s">
        <v>64</v>
      </c>
      <c r="M5" s="65" t="s">
        <v>79</v>
      </c>
      <c r="N5" s="65" t="s">
        <v>63</v>
      </c>
      <c r="O5" s="65" t="s">
        <v>66</v>
      </c>
      <c r="P5" s="65" t="s">
        <v>79</v>
      </c>
      <c r="Q5" s="65" t="s">
        <v>79</v>
      </c>
    </row>
    <row r="6" spans="1:25" x14ac:dyDescent="0.25">
      <c r="A6" s="64">
        <v>5</v>
      </c>
      <c r="B6" s="64" t="s">
        <v>67</v>
      </c>
      <c r="C6" s="64">
        <v>26705054</v>
      </c>
      <c r="D6" s="64" t="s">
        <v>66</v>
      </c>
      <c r="E6" s="64" t="s">
        <v>68</v>
      </c>
      <c r="F6" s="64" t="s">
        <v>69</v>
      </c>
      <c r="G6" s="64">
        <v>1157503656</v>
      </c>
      <c r="I6">
        <v>5</v>
      </c>
      <c r="J6">
        <v>5</v>
      </c>
      <c r="K6" s="65" t="s">
        <v>70</v>
      </c>
      <c r="L6" s="65" t="s">
        <v>72</v>
      </c>
      <c r="M6" s="65" t="s">
        <v>79</v>
      </c>
      <c r="N6" s="65" t="s">
        <v>71</v>
      </c>
      <c r="O6" s="65" t="s">
        <v>66</v>
      </c>
      <c r="P6" s="65" t="s">
        <v>79</v>
      </c>
      <c r="Q6" s="65" t="s">
        <v>79</v>
      </c>
    </row>
    <row r="7" spans="1:25" x14ac:dyDescent="0.25">
      <c r="A7" s="64">
        <v>6</v>
      </c>
      <c r="B7" s="64" t="s">
        <v>73</v>
      </c>
      <c r="C7" s="64">
        <v>13978580</v>
      </c>
      <c r="D7" s="64" t="s">
        <v>66</v>
      </c>
      <c r="E7" s="64" t="s">
        <v>74</v>
      </c>
      <c r="F7" s="64" t="s">
        <v>75</v>
      </c>
      <c r="G7" s="64" t="s">
        <v>75</v>
      </c>
      <c r="I7">
        <v>6</v>
      </c>
      <c r="J7">
        <v>1</v>
      </c>
      <c r="K7" s="65" t="s">
        <v>81</v>
      </c>
      <c r="L7" s="65" t="s">
        <v>82</v>
      </c>
      <c r="M7" s="65" t="s">
        <v>83</v>
      </c>
      <c r="N7" s="65" t="s">
        <v>80</v>
      </c>
      <c r="O7" s="65" t="s">
        <v>84</v>
      </c>
      <c r="P7" s="65" t="s">
        <v>85</v>
      </c>
      <c r="Q7" s="65" t="s">
        <v>86</v>
      </c>
    </row>
    <row r="8" spans="1:25" x14ac:dyDescent="0.25">
      <c r="A8" s="64">
        <v>7</v>
      </c>
      <c r="B8" s="64" t="s">
        <v>77</v>
      </c>
      <c r="C8" s="64">
        <v>34141463</v>
      </c>
      <c r="D8" s="64" t="s">
        <v>76</v>
      </c>
      <c r="E8" s="64" t="s">
        <v>75</v>
      </c>
      <c r="F8" s="64" t="s">
        <v>75</v>
      </c>
      <c r="G8" s="64">
        <v>1121795409</v>
      </c>
    </row>
  </sheetData>
  <dataConsolidate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pageSetUpPr fitToPage="1"/>
  </sheetPr>
  <dimension ref="A1:H73"/>
  <sheetViews>
    <sheetView tabSelected="1" view="pageBreakPreview" zoomScale="60" zoomScaleNormal="100" workbookViewId="0">
      <selection activeCell="K6" sqref="K6"/>
    </sheetView>
  </sheetViews>
  <sheetFormatPr baseColWidth="10" defaultRowHeight="15" x14ac:dyDescent="0.25"/>
  <cols>
    <col min="1" max="1" width="27.28515625" bestFit="1" customWidth="1"/>
    <col min="2" max="2" width="22.28515625" customWidth="1"/>
    <col min="3" max="3" width="51.28515625" customWidth="1"/>
    <col min="4" max="4" width="15.140625" bestFit="1" customWidth="1"/>
    <col min="5" max="5" width="20.85546875" style="9" customWidth="1"/>
    <col min="6" max="6" width="24.42578125" customWidth="1"/>
  </cols>
  <sheetData>
    <row r="1" spans="1:8" ht="42.75" customHeight="1" x14ac:dyDescent="0.25">
      <c r="A1" s="13"/>
      <c r="B1" s="97" t="s">
        <v>33</v>
      </c>
      <c r="C1" s="97"/>
      <c r="D1" s="97"/>
      <c r="E1" s="97"/>
      <c r="F1" s="98"/>
    </row>
    <row r="2" spans="1:8" ht="42.75" customHeight="1" x14ac:dyDescent="0.25">
      <c r="A2" s="14"/>
      <c r="B2" s="99"/>
      <c r="C2" s="99"/>
      <c r="D2" s="99"/>
      <c r="E2" s="99"/>
      <c r="F2" s="100"/>
      <c r="H2" t="e">
        <f ca="1">CONCATENATE(F6," -"," ",B11," -  ",E15," - ",TEXT(F7,"DD-MM-yyyy"))</f>
        <v>#N/A</v>
      </c>
    </row>
    <row r="3" spans="1:8" ht="15" customHeight="1" x14ac:dyDescent="0.25">
      <c r="A3" s="14"/>
      <c r="B3" s="99"/>
      <c r="C3" s="99"/>
      <c r="D3" s="99"/>
      <c r="E3" s="99"/>
      <c r="F3" s="100"/>
    </row>
    <row r="4" spans="1:8" ht="15" customHeight="1" x14ac:dyDescent="0.25">
      <c r="A4" s="14"/>
      <c r="B4" s="99"/>
      <c r="C4" s="99"/>
      <c r="D4" s="99"/>
      <c r="E4" s="99"/>
      <c r="F4" s="100"/>
    </row>
    <row r="5" spans="1:8" ht="15.75" customHeight="1" thickBot="1" x14ac:dyDescent="0.3">
      <c r="A5" s="16"/>
      <c r="B5" s="101"/>
      <c r="C5" s="101"/>
      <c r="D5" s="101"/>
      <c r="E5" s="101"/>
      <c r="F5" s="102"/>
    </row>
    <row r="6" spans="1:8" ht="18.75" x14ac:dyDescent="0.3">
      <c r="A6" s="26" t="s">
        <v>88</v>
      </c>
      <c r="B6" s="121"/>
      <c r="C6" s="121"/>
      <c r="D6" s="121"/>
      <c r="E6" s="27" t="s">
        <v>31</v>
      </c>
      <c r="F6" s="28">
        <v>3</v>
      </c>
    </row>
    <row r="7" spans="1:8" ht="15.75" customHeight="1" x14ac:dyDescent="0.3">
      <c r="A7" s="29" t="s">
        <v>89</v>
      </c>
      <c r="B7" s="120" t="s">
        <v>95</v>
      </c>
      <c r="C7" s="120"/>
      <c r="D7" s="120"/>
      <c r="E7" s="30" t="s">
        <v>43</v>
      </c>
      <c r="F7" s="31">
        <f ca="1">TODAY()</f>
        <v>45155</v>
      </c>
    </row>
    <row r="8" spans="1:8" ht="15.75" customHeight="1" x14ac:dyDescent="0.3">
      <c r="A8" s="29" t="s">
        <v>90</v>
      </c>
      <c r="B8" s="120" t="s">
        <v>96</v>
      </c>
      <c r="C8" s="120"/>
      <c r="D8" s="120"/>
      <c r="E8" s="116" t="s">
        <v>32</v>
      </c>
      <c r="F8" s="118">
        <f ca="1">F7+15</f>
        <v>45170</v>
      </c>
    </row>
    <row r="9" spans="1:8" ht="24.75" customHeight="1" thickBot="1" x14ac:dyDescent="0.35">
      <c r="A9" s="32" t="s">
        <v>94</v>
      </c>
      <c r="B9" s="115" t="s">
        <v>97</v>
      </c>
      <c r="C9" s="115"/>
      <c r="D9" s="115"/>
      <c r="E9" s="117"/>
      <c r="F9" s="119"/>
    </row>
    <row r="10" spans="1:8" ht="18" x14ac:dyDescent="0.25">
      <c r="A10" s="20" t="s">
        <v>91</v>
      </c>
      <c r="B10" s="21" t="s">
        <v>34</v>
      </c>
      <c r="C10" s="33"/>
      <c r="D10" s="21" t="s">
        <v>35</v>
      </c>
      <c r="E10" s="21" t="s">
        <v>34</v>
      </c>
      <c r="F10" s="34"/>
    </row>
    <row r="11" spans="1:8" ht="19.5" x14ac:dyDescent="0.35">
      <c r="A11" s="35" t="s">
        <v>92</v>
      </c>
      <c r="B11" s="75" t="e">
        <f>VLOOKUP(C10,clientes[],2,FALSE)</f>
        <v>#N/A</v>
      </c>
      <c r="C11" s="76"/>
      <c r="D11" s="79" t="s">
        <v>37</v>
      </c>
      <c r="E11" s="73" t="e">
        <f>VLOOKUP(F10,datosVehiculos[],6,FALSE)</f>
        <v>#N/A</v>
      </c>
      <c r="F11" s="74"/>
    </row>
    <row r="12" spans="1:8" ht="19.5" x14ac:dyDescent="0.35">
      <c r="A12" s="35" t="s">
        <v>93</v>
      </c>
      <c r="B12" s="75" t="e">
        <f>VLOOKUP(C10,clientes[],3,FALSE)</f>
        <v>#N/A</v>
      </c>
      <c r="C12" s="76"/>
      <c r="D12" s="79"/>
      <c r="E12" s="73"/>
      <c r="F12" s="74"/>
    </row>
    <row r="13" spans="1:8" ht="19.5" x14ac:dyDescent="0.35">
      <c r="A13" s="35" t="s">
        <v>90</v>
      </c>
      <c r="B13" s="77" t="e">
        <f>VLOOKUP(C10,clientes[],4,FALSE)</f>
        <v>#N/A</v>
      </c>
      <c r="C13" s="78"/>
      <c r="D13" s="79" t="s">
        <v>38</v>
      </c>
      <c r="E13" s="73" t="e">
        <f>VLOOKUP(F10,datosVehiculos[],4,FALSE)</f>
        <v>#N/A</v>
      </c>
      <c r="F13" s="74"/>
    </row>
    <row r="14" spans="1:8" ht="15" customHeight="1" x14ac:dyDescent="0.25">
      <c r="A14" s="105" t="s">
        <v>89</v>
      </c>
      <c r="B14" s="107" t="e">
        <f>VLOOKUP(C10,clientes[],5,FALSE)</f>
        <v>#N/A</v>
      </c>
      <c r="C14" s="108"/>
      <c r="D14" s="79"/>
      <c r="E14" s="73"/>
      <c r="F14" s="74"/>
    </row>
    <row r="15" spans="1:8" ht="20.25" thickBot="1" x14ac:dyDescent="0.4">
      <c r="A15" s="106"/>
      <c r="B15" s="109"/>
      <c r="C15" s="110"/>
      <c r="D15" s="37" t="s">
        <v>36</v>
      </c>
      <c r="E15" s="122" t="e">
        <f>VLOOKUP(F10,datosVehiculos[],3,FALSE)</f>
        <v>#N/A</v>
      </c>
      <c r="F15" s="123"/>
    </row>
    <row r="16" spans="1:8" ht="20.25" thickBot="1" x14ac:dyDescent="0.4">
      <c r="A16" s="36" t="s">
        <v>21</v>
      </c>
      <c r="B16" s="103" t="e">
        <f>VLOOKUP(C10,clientes[],7,FALSE)</f>
        <v>#N/A</v>
      </c>
      <c r="C16" s="104"/>
      <c r="D16" s="38"/>
      <c r="E16" s="39"/>
      <c r="F16" s="40"/>
    </row>
    <row r="17" spans="1:6" ht="19.5" thickBot="1" x14ac:dyDescent="0.35">
      <c r="A17" s="41"/>
      <c r="B17" s="42"/>
      <c r="C17" s="43"/>
      <c r="D17" s="44" t="s">
        <v>41</v>
      </c>
      <c r="E17" s="45" t="s">
        <v>39</v>
      </c>
      <c r="F17" s="43" t="s">
        <v>40</v>
      </c>
    </row>
    <row r="18" spans="1:6" ht="18.75" x14ac:dyDescent="0.3">
      <c r="A18" s="23">
        <v>1</v>
      </c>
      <c r="B18" s="22"/>
      <c r="C18" s="15"/>
      <c r="D18" s="23"/>
      <c r="E18" s="24"/>
      <c r="F18" s="25" t="str">
        <f>IF(D18&lt;&gt;"",E18*D18,"")</f>
        <v/>
      </c>
    </row>
    <row r="19" spans="1:6" ht="18.75" x14ac:dyDescent="0.3">
      <c r="A19" s="23">
        <v>2</v>
      </c>
      <c r="B19" s="22"/>
      <c r="C19" s="15"/>
      <c r="D19" s="23"/>
      <c r="E19" s="24"/>
      <c r="F19" s="25" t="str">
        <f t="shared" ref="F19:F57" si="0">IF(D19&lt;&gt;"",E19*D19,"")</f>
        <v/>
      </c>
    </row>
    <row r="20" spans="1:6" ht="18.75" x14ac:dyDescent="0.3">
      <c r="A20" s="23">
        <v>3</v>
      </c>
      <c r="B20" s="22"/>
      <c r="C20" s="15"/>
      <c r="D20" s="23"/>
      <c r="E20" s="24"/>
      <c r="F20" s="25" t="str">
        <f t="shared" si="0"/>
        <v/>
      </c>
    </row>
    <row r="21" spans="1:6" ht="18.75" x14ac:dyDescent="0.3">
      <c r="A21" s="23">
        <v>4</v>
      </c>
      <c r="B21" s="14"/>
      <c r="C21" s="15"/>
      <c r="D21" s="18"/>
      <c r="E21" s="19"/>
      <c r="F21" s="25" t="str">
        <f t="shared" si="0"/>
        <v/>
      </c>
    </row>
    <row r="22" spans="1:6" ht="18.75" x14ac:dyDescent="0.3">
      <c r="A22" s="23">
        <v>5</v>
      </c>
      <c r="B22" s="14"/>
      <c r="C22" s="15"/>
      <c r="D22" s="18"/>
      <c r="E22" s="19"/>
      <c r="F22" s="25" t="str">
        <f t="shared" si="0"/>
        <v/>
      </c>
    </row>
    <row r="23" spans="1:6" ht="18.75" x14ac:dyDescent="0.3">
      <c r="A23" s="23">
        <v>6</v>
      </c>
      <c r="B23" s="14"/>
      <c r="C23" s="15"/>
      <c r="D23" s="18"/>
      <c r="E23" s="19"/>
      <c r="F23" s="25" t="str">
        <f t="shared" si="0"/>
        <v/>
      </c>
    </row>
    <row r="24" spans="1:6" ht="18.75" x14ac:dyDescent="0.3">
      <c r="A24" s="23">
        <v>7</v>
      </c>
      <c r="B24" s="14"/>
      <c r="C24" s="15"/>
      <c r="D24" s="18"/>
      <c r="E24" s="19"/>
      <c r="F24" s="25" t="str">
        <f t="shared" si="0"/>
        <v/>
      </c>
    </row>
    <row r="25" spans="1:6" ht="18.75" x14ac:dyDescent="0.3">
      <c r="A25" s="23">
        <v>8</v>
      </c>
      <c r="B25" s="14"/>
      <c r="C25" s="15"/>
      <c r="D25" s="18"/>
      <c r="E25" s="19"/>
      <c r="F25" s="25" t="str">
        <f t="shared" si="0"/>
        <v/>
      </c>
    </row>
    <row r="26" spans="1:6" ht="18.75" x14ac:dyDescent="0.3">
      <c r="A26" s="23">
        <v>9</v>
      </c>
      <c r="B26" s="14"/>
      <c r="C26" s="15"/>
      <c r="D26" s="18"/>
      <c r="E26" s="19"/>
      <c r="F26" s="25" t="str">
        <f t="shared" si="0"/>
        <v/>
      </c>
    </row>
    <row r="27" spans="1:6" ht="18.75" x14ac:dyDescent="0.3">
      <c r="A27" s="23">
        <v>10</v>
      </c>
      <c r="B27" s="14"/>
      <c r="C27" s="15"/>
      <c r="D27" s="18"/>
      <c r="E27" s="19"/>
      <c r="F27" s="25" t="str">
        <f t="shared" si="0"/>
        <v/>
      </c>
    </row>
    <row r="28" spans="1:6" ht="18.75" x14ac:dyDescent="0.3">
      <c r="A28" s="23">
        <v>11</v>
      </c>
      <c r="B28" s="14"/>
      <c r="C28" s="15"/>
      <c r="D28" s="18"/>
      <c r="E28" s="19"/>
      <c r="F28" s="25" t="str">
        <f t="shared" si="0"/>
        <v/>
      </c>
    </row>
    <row r="29" spans="1:6" ht="18.75" x14ac:dyDescent="0.3">
      <c r="A29" s="23">
        <v>12</v>
      </c>
      <c r="B29" s="14"/>
      <c r="C29" s="15"/>
      <c r="D29" s="18"/>
      <c r="E29" s="19"/>
      <c r="F29" s="25" t="str">
        <f t="shared" si="0"/>
        <v/>
      </c>
    </row>
    <row r="30" spans="1:6" ht="18.75" x14ac:dyDescent="0.3">
      <c r="A30" s="23">
        <v>13</v>
      </c>
      <c r="B30" s="14"/>
      <c r="C30" s="15"/>
      <c r="D30" s="18"/>
      <c r="E30" s="19"/>
      <c r="F30" s="25" t="str">
        <f t="shared" si="0"/>
        <v/>
      </c>
    </row>
    <row r="31" spans="1:6" ht="18.75" x14ac:dyDescent="0.3">
      <c r="A31" s="23">
        <v>14</v>
      </c>
      <c r="B31" s="14"/>
      <c r="C31" s="15"/>
      <c r="D31" s="18"/>
      <c r="E31" s="19"/>
      <c r="F31" s="25" t="str">
        <f t="shared" si="0"/>
        <v/>
      </c>
    </row>
    <row r="32" spans="1:6" ht="18.75" x14ac:dyDescent="0.3">
      <c r="A32" s="23">
        <v>15</v>
      </c>
      <c r="B32" s="14"/>
      <c r="C32" s="15"/>
      <c r="D32" s="18"/>
      <c r="E32" s="19"/>
      <c r="F32" s="25" t="str">
        <f t="shared" si="0"/>
        <v/>
      </c>
    </row>
    <row r="33" spans="1:6" ht="18.75" x14ac:dyDescent="0.3">
      <c r="A33" s="23">
        <v>16</v>
      </c>
      <c r="B33" s="14"/>
      <c r="C33" s="15"/>
      <c r="D33" s="18"/>
      <c r="E33" s="19"/>
      <c r="F33" s="25" t="str">
        <f t="shared" si="0"/>
        <v/>
      </c>
    </row>
    <row r="34" spans="1:6" ht="18.75" x14ac:dyDescent="0.3">
      <c r="A34" s="23">
        <v>17</v>
      </c>
      <c r="B34" s="14"/>
      <c r="C34" s="15"/>
      <c r="D34" s="18"/>
      <c r="E34" s="19"/>
      <c r="F34" s="25" t="str">
        <f t="shared" si="0"/>
        <v/>
      </c>
    </row>
    <row r="35" spans="1:6" ht="18.75" x14ac:dyDescent="0.3">
      <c r="A35" s="23">
        <v>18</v>
      </c>
      <c r="B35" s="14"/>
      <c r="C35" s="15"/>
      <c r="D35" s="18"/>
      <c r="E35" s="19"/>
      <c r="F35" s="25" t="str">
        <f t="shared" si="0"/>
        <v/>
      </c>
    </row>
    <row r="36" spans="1:6" ht="18.75" x14ac:dyDescent="0.3">
      <c r="A36" s="23">
        <v>19</v>
      </c>
      <c r="B36" s="14"/>
      <c r="C36" s="15"/>
      <c r="D36" s="18"/>
      <c r="E36" s="19"/>
      <c r="F36" s="25" t="str">
        <f t="shared" si="0"/>
        <v/>
      </c>
    </row>
    <row r="37" spans="1:6" ht="18.75" x14ac:dyDescent="0.3">
      <c r="A37" s="23">
        <v>20</v>
      </c>
      <c r="B37" s="14"/>
      <c r="C37" s="15"/>
      <c r="D37" s="18"/>
      <c r="E37" s="19"/>
      <c r="F37" s="25" t="str">
        <f t="shared" si="0"/>
        <v/>
      </c>
    </row>
    <row r="38" spans="1:6" ht="18.75" x14ac:dyDescent="0.3">
      <c r="A38" s="23">
        <v>21</v>
      </c>
      <c r="B38" s="14"/>
      <c r="C38" s="15"/>
      <c r="D38" s="18"/>
      <c r="E38" s="19"/>
      <c r="F38" s="25" t="str">
        <f t="shared" si="0"/>
        <v/>
      </c>
    </row>
    <row r="39" spans="1:6" ht="18.75" x14ac:dyDescent="0.3">
      <c r="A39" s="23">
        <v>22</v>
      </c>
      <c r="B39" s="14"/>
      <c r="C39" s="15"/>
      <c r="D39" s="18"/>
      <c r="E39" s="19"/>
      <c r="F39" s="25" t="str">
        <f t="shared" si="0"/>
        <v/>
      </c>
    </row>
    <row r="40" spans="1:6" ht="18.75" x14ac:dyDescent="0.3">
      <c r="A40" s="23">
        <v>23</v>
      </c>
      <c r="B40" s="14"/>
      <c r="C40" s="15"/>
      <c r="D40" s="18"/>
      <c r="E40" s="19"/>
      <c r="F40" s="17" t="str">
        <f t="shared" si="0"/>
        <v/>
      </c>
    </row>
    <row r="41" spans="1:6" ht="18.75" x14ac:dyDescent="0.3">
      <c r="A41" s="23">
        <v>24</v>
      </c>
      <c r="B41" s="14"/>
      <c r="C41" s="15"/>
      <c r="D41" s="18"/>
      <c r="E41" s="19"/>
      <c r="F41" s="17" t="str">
        <f t="shared" si="0"/>
        <v/>
      </c>
    </row>
    <row r="42" spans="1:6" ht="18.75" x14ac:dyDescent="0.3">
      <c r="A42" s="23">
        <v>25</v>
      </c>
      <c r="B42" s="14"/>
      <c r="C42" s="15"/>
      <c r="D42" s="18"/>
      <c r="E42" s="19"/>
      <c r="F42" s="17" t="str">
        <f t="shared" si="0"/>
        <v/>
      </c>
    </row>
    <row r="43" spans="1:6" ht="18.75" x14ac:dyDescent="0.3">
      <c r="A43" s="23">
        <v>26</v>
      </c>
      <c r="B43" s="14"/>
      <c r="C43" s="15"/>
      <c r="D43" s="18"/>
      <c r="E43" s="19"/>
      <c r="F43" s="17" t="str">
        <f t="shared" si="0"/>
        <v/>
      </c>
    </row>
    <row r="44" spans="1:6" ht="18.75" x14ac:dyDescent="0.3">
      <c r="A44" s="23">
        <v>27</v>
      </c>
      <c r="B44" s="14"/>
      <c r="C44" s="15"/>
      <c r="D44" s="18"/>
      <c r="E44" s="19"/>
      <c r="F44" s="17" t="str">
        <f t="shared" si="0"/>
        <v/>
      </c>
    </row>
    <row r="45" spans="1:6" ht="18.75" x14ac:dyDescent="0.3">
      <c r="A45" s="23">
        <v>28</v>
      </c>
      <c r="B45" s="14"/>
      <c r="C45" s="15"/>
      <c r="D45" s="18"/>
      <c r="E45" s="19"/>
      <c r="F45" s="17" t="str">
        <f t="shared" si="0"/>
        <v/>
      </c>
    </row>
    <row r="46" spans="1:6" ht="18.75" x14ac:dyDescent="0.3">
      <c r="A46" s="23">
        <v>29</v>
      </c>
      <c r="B46" s="14"/>
      <c r="C46" s="15"/>
      <c r="D46" s="18"/>
      <c r="E46" s="19"/>
      <c r="F46" s="17" t="str">
        <f t="shared" si="0"/>
        <v/>
      </c>
    </row>
    <row r="47" spans="1:6" ht="18.75" x14ac:dyDescent="0.3">
      <c r="A47" s="23">
        <v>30</v>
      </c>
      <c r="B47" s="14"/>
      <c r="C47" s="15"/>
      <c r="D47" s="18"/>
      <c r="E47" s="19"/>
      <c r="F47" s="17" t="str">
        <f t="shared" si="0"/>
        <v/>
      </c>
    </row>
    <row r="48" spans="1:6" ht="18.75" x14ac:dyDescent="0.3">
      <c r="A48" s="23">
        <v>31</v>
      </c>
      <c r="B48" s="14"/>
      <c r="C48" s="15"/>
      <c r="D48" s="18"/>
      <c r="E48" s="19"/>
      <c r="F48" s="17" t="str">
        <f t="shared" si="0"/>
        <v/>
      </c>
    </row>
    <row r="49" spans="1:6" ht="18.75" x14ac:dyDescent="0.3">
      <c r="A49" s="23">
        <v>32</v>
      </c>
      <c r="B49" s="14"/>
      <c r="C49" s="15"/>
      <c r="D49" s="18"/>
      <c r="E49" s="19"/>
      <c r="F49" s="17" t="str">
        <f t="shared" si="0"/>
        <v/>
      </c>
    </row>
    <row r="50" spans="1:6" ht="18.75" x14ac:dyDescent="0.3">
      <c r="A50" s="23">
        <v>33</v>
      </c>
      <c r="B50" s="14"/>
      <c r="C50" s="15"/>
      <c r="D50" s="18"/>
      <c r="E50" s="19"/>
      <c r="F50" s="17" t="str">
        <f t="shared" si="0"/>
        <v/>
      </c>
    </row>
    <row r="51" spans="1:6" ht="18.75" x14ac:dyDescent="0.3">
      <c r="A51" s="23">
        <v>34</v>
      </c>
      <c r="B51" s="14"/>
      <c r="C51" s="15"/>
      <c r="D51" s="18"/>
      <c r="E51" s="19"/>
      <c r="F51" s="17" t="str">
        <f t="shared" si="0"/>
        <v/>
      </c>
    </row>
    <row r="52" spans="1:6" ht="18.75" x14ac:dyDescent="0.3">
      <c r="A52" s="23">
        <v>35</v>
      </c>
      <c r="B52" s="14"/>
      <c r="C52" s="15"/>
      <c r="D52" s="18"/>
      <c r="E52" s="19"/>
      <c r="F52" s="17" t="str">
        <f t="shared" si="0"/>
        <v/>
      </c>
    </row>
    <row r="53" spans="1:6" ht="18.75" x14ac:dyDescent="0.3">
      <c r="A53" s="23">
        <v>36</v>
      </c>
      <c r="B53" s="14"/>
      <c r="C53" s="15"/>
      <c r="D53" s="18"/>
      <c r="E53" s="19"/>
      <c r="F53" s="17" t="str">
        <f t="shared" si="0"/>
        <v/>
      </c>
    </row>
    <row r="54" spans="1:6" ht="18.75" x14ac:dyDescent="0.3">
      <c r="A54" s="23">
        <v>37</v>
      </c>
      <c r="B54" s="14"/>
      <c r="C54" s="15"/>
      <c r="D54" s="18"/>
      <c r="E54" s="19"/>
      <c r="F54" s="17" t="str">
        <f t="shared" si="0"/>
        <v/>
      </c>
    </row>
    <row r="55" spans="1:6" ht="18.75" x14ac:dyDescent="0.3">
      <c r="A55" s="23">
        <v>38</v>
      </c>
      <c r="B55" s="14"/>
      <c r="C55" s="15"/>
      <c r="D55" s="18"/>
      <c r="E55" s="19"/>
      <c r="F55" s="17" t="str">
        <f t="shared" si="0"/>
        <v/>
      </c>
    </row>
    <row r="56" spans="1:6" ht="18.75" x14ac:dyDescent="0.3">
      <c r="A56" s="23">
        <v>39</v>
      </c>
      <c r="B56" s="14"/>
      <c r="C56" s="15"/>
      <c r="D56" s="18"/>
      <c r="E56" s="19"/>
      <c r="F56" s="17" t="str">
        <f t="shared" si="0"/>
        <v/>
      </c>
    </row>
    <row r="57" spans="1:6" ht="19.5" thickBot="1" x14ac:dyDescent="0.35">
      <c r="A57" s="23">
        <v>40</v>
      </c>
      <c r="B57" s="14"/>
      <c r="C57" s="15"/>
      <c r="D57" s="18"/>
      <c r="E57" s="19"/>
      <c r="F57" s="17" t="str">
        <f t="shared" si="0"/>
        <v/>
      </c>
    </row>
    <row r="58" spans="1:6" ht="20.25" thickTop="1" thickBot="1" x14ac:dyDescent="0.35">
      <c r="A58" s="111" t="s">
        <v>45</v>
      </c>
      <c r="B58" s="113"/>
      <c r="C58" s="46"/>
      <c r="D58" s="52"/>
      <c r="E58" s="53" t="s">
        <v>42</v>
      </c>
      <c r="F58" s="55">
        <f>SUM(F14:F57)</f>
        <v>0</v>
      </c>
    </row>
    <row r="59" spans="1:6" ht="20.25" customHeight="1" thickTop="1" thickBot="1" x14ac:dyDescent="0.3">
      <c r="A59" s="112"/>
      <c r="B59" s="114"/>
      <c r="D59" s="50"/>
      <c r="E59" s="51"/>
      <c r="F59" s="54"/>
    </row>
    <row r="60" spans="1:6" ht="18.75" customHeight="1" x14ac:dyDescent="0.25">
      <c r="A60" s="82" t="s">
        <v>46</v>
      </c>
      <c r="B60" s="83"/>
      <c r="C60" s="88"/>
      <c r="D60" s="89"/>
      <c r="E60" s="89"/>
      <c r="F60" s="90"/>
    </row>
    <row r="61" spans="1:6" ht="18.75" customHeight="1" x14ac:dyDescent="0.25">
      <c r="A61" s="84"/>
      <c r="B61" s="85"/>
      <c r="C61" s="91"/>
      <c r="D61" s="92"/>
      <c r="E61" s="92"/>
      <c r="F61" s="93"/>
    </row>
    <row r="62" spans="1:6" ht="15" customHeight="1" x14ac:dyDescent="0.25">
      <c r="A62" s="84"/>
      <c r="B62" s="85"/>
      <c r="C62" s="91"/>
      <c r="D62" s="92"/>
      <c r="E62" s="92"/>
      <c r="F62" s="93"/>
    </row>
    <row r="63" spans="1:6" ht="19.5" customHeight="1" x14ac:dyDescent="0.25">
      <c r="A63" s="84"/>
      <c r="B63" s="85"/>
      <c r="C63" s="91"/>
      <c r="D63" s="92"/>
      <c r="E63" s="92"/>
      <c r="F63" s="93"/>
    </row>
    <row r="64" spans="1:6" ht="15" customHeight="1" x14ac:dyDescent="0.25">
      <c r="A64" s="84"/>
      <c r="B64" s="85"/>
      <c r="C64" s="91"/>
      <c r="D64" s="92"/>
      <c r="E64" s="92"/>
      <c r="F64" s="93"/>
    </row>
    <row r="65" spans="1:6" ht="19.5" customHeight="1" thickBot="1" x14ac:dyDescent="0.3">
      <c r="A65" s="86"/>
      <c r="B65" s="87"/>
      <c r="C65" s="94"/>
      <c r="D65" s="95"/>
      <c r="E65" s="95"/>
      <c r="F65" s="96"/>
    </row>
    <row r="66" spans="1:6" ht="23.25" x14ac:dyDescent="0.3">
      <c r="A66" s="49"/>
      <c r="C66" s="48"/>
      <c r="E66" s="10"/>
      <c r="F66" s="47"/>
    </row>
    <row r="67" spans="1:6" ht="18.75" x14ac:dyDescent="0.3">
      <c r="A67" s="59"/>
      <c r="B67" s="56"/>
      <c r="C67" s="60"/>
      <c r="D67" s="56"/>
      <c r="E67" s="57"/>
      <c r="F67" s="58"/>
    </row>
    <row r="68" spans="1:6" ht="26.25" customHeight="1" x14ac:dyDescent="0.25">
      <c r="A68" s="80" t="s">
        <v>44</v>
      </c>
      <c r="B68" s="81"/>
      <c r="C68" s="56"/>
      <c r="D68" s="56"/>
      <c r="E68" s="57"/>
      <c r="F68" s="58"/>
    </row>
    <row r="69" spans="1:6" x14ac:dyDescent="0.25">
      <c r="A69" s="61"/>
      <c r="B69" s="56"/>
      <c r="C69" s="56"/>
      <c r="D69" s="56"/>
      <c r="E69" s="57"/>
      <c r="F69" s="58"/>
    </row>
    <row r="70" spans="1:6" x14ac:dyDescent="0.25">
      <c r="E70" s="10"/>
      <c r="F70" s="11"/>
    </row>
    <row r="71" spans="1:6" x14ac:dyDescent="0.25">
      <c r="E71" s="10"/>
      <c r="F71" s="12"/>
    </row>
    <row r="72" spans="1:6" x14ac:dyDescent="0.25">
      <c r="E72" s="10"/>
    </row>
    <row r="73" spans="1:6" x14ac:dyDescent="0.25">
      <c r="E73" s="10"/>
    </row>
  </sheetData>
  <mergeCells count="23">
    <mergeCell ref="A68:B68"/>
    <mergeCell ref="A60:B65"/>
    <mergeCell ref="C60:F65"/>
    <mergeCell ref="B1:F5"/>
    <mergeCell ref="B16:C16"/>
    <mergeCell ref="A14:A15"/>
    <mergeCell ref="B14:C15"/>
    <mergeCell ref="A58:A59"/>
    <mergeCell ref="B58:B59"/>
    <mergeCell ref="B9:D9"/>
    <mergeCell ref="E8:E9"/>
    <mergeCell ref="F8:F9"/>
    <mergeCell ref="B7:D7"/>
    <mergeCell ref="B8:D8"/>
    <mergeCell ref="B6:D6"/>
    <mergeCell ref="E15:F15"/>
    <mergeCell ref="E11:F12"/>
    <mergeCell ref="E13:F14"/>
    <mergeCell ref="B11:C11"/>
    <mergeCell ref="B12:C12"/>
    <mergeCell ref="B13:C13"/>
    <mergeCell ref="D11:D12"/>
    <mergeCell ref="D13:D14"/>
  </mergeCells>
  <pageMargins left="0.7" right="0.7" top="0.75" bottom="0.75" header="0.3" footer="0.3"/>
  <pageSetup paperSize="9" scale="55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A1:G1"/>
  <sheetViews>
    <sheetView workbookViewId="0">
      <selection activeCell="E23" sqref="E23"/>
    </sheetView>
  </sheetViews>
  <sheetFormatPr baseColWidth="10" defaultRowHeight="15" x14ac:dyDescent="0.25"/>
  <cols>
    <col min="1" max="1" width="9.140625" bestFit="1" customWidth="1"/>
    <col min="2" max="2" width="16.7109375" bestFit="1" customWidth="1"/>
    <col min="3" max="3" width="12" bestFit="1" customWidth="1"/>
    <col min="4" max="4" width="11" bestFit="1" customWidth="1"/>
    <col min="5" max="5" width="28.42578125" bestFit="1" customWidth="1"/>
    <col min="6" max="6" width="16.85546875" bestFit="1" customWidth="1"/>
    <col min="7" max="7" width="11" bestFit="1" customWidth="1"/>
  </cols>
  <sheetData>
    <row r="1" spans="1:7" x14ac:dyDescent="0.25">
      <c r="A1" s="5" t="s">
        <v>17</v>
      </c>
      <c r="B1" s="6" t="s">
        <v>2</v>
      </c>
      <c r="C1" s="6" t="s">
        <v>0</v>
      </c>
      <c r="D1" s="6" t="s">
        <v>22</v>
      </c>
      <c r="E1" s="6" t="s">
        <v>23</v>
      </c>
      <c r="F1" s="6" t="s">
        <v>1</v>
      </c>
      <c r="G1" s="7" t="s">
        <v>21</v>
      </c>
    </row>
  </sheetData>
  <pageMargins left="0.25" right="0.25" top="0.75" bottom="0.75" header="0.3" footer="0.3"/>
  <pageSetup paperSize="9" scale="9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pageSetUpPr fitToPage="1"/>
  </sheetPr>
  <dimension ref="A1:N1"/>
  <sheetViews>
    <sheetView workbookViewId="0">
      <selection activeCell="P4" sqref="P4"/>
    </sheetView>
  </sheetViews>
  <sheetFormatPr baseColWidth="10" defaultRowHeight="15" x14ac:dyDescent="0.25"/>
  <cols>
    <col min="1" max="1" width="10.5703125" bestFit="1" customWidth="1"/>
    <col min="2" max="2" width="9.140625" bestFit="1" customWidth="1"/>
    <col min="3" max="3" width="11.140625" bestFit="1" customWidth="1"/>
    <col min="4" max="4" width="15.42578125" bestFit="1" customWidth="1"/>
    <col min="5" max="5" width="16.28515625" bestFit="1" customWidth="1"/>
    <col min="6" max="6" width="15.85546875" bestFit="1" customWidth="1"/>
    <col min="7" max="7" width="8.42578125" bestFit="1" customWidth="1"/>
    <col min="8" max="8" width="4.5703125" bestFit="1" customWidth="1"/>
    <col min="9" max="9" width="12.140625" bestFit="1" customWidth="1"/>
    <col min="10" max="10" width="7.85546875" bestFit="1" customWidth="1"/>
    <col min="11" max="11" width="6.28515625" bestFit="1" customWidth="1"/>
    <col min="12" max="13" width="9.5703125" bestFit="1" customWidth="1"/>
    <col min="14" max="14" width="16.28515625" bestFit="1" customWidth="1"/>
  </cols>
  <sheetData>
    <row r="1" spans="1:14" x14ac:dyDescent="0.25">
      <c r="A1" s="5" t="s">
        <v>24</v>
      </c>
      <c r="B1" s="6" t="s">
        <v>17</v>
      </c>
      <c r="C1" s="6" t="s">
        <v>16</v>
      </c>
      <c r="D1" s="6" t="s">
        <v>12</v>
      </c>
      <c r="E1" s="6" t="s">
        <v>13</v>
      </c>
      <c r="F1" s="6" t="s">
        <v>14</v>
      </c>
      <c r="G1" s="6" t="s">
        <v>3</v>
      </c>
      <c r="H1" s="6" t="s">
        <v>8</v>
      </c>
      <c r="I1" s="6" t="s">
        <v>9</v>
      </c>
      <c r="J1" s="6" t="s">
        <v>6</v>
      </c>
      <c r="K1" s="6" t="s">
        <v>4</v>
      </c>
      <c r="L1" s="6" t="s">
        <v>5</v>
      </c>
      <c r="M1" s="6" t="s">
        <v>7</v>
      </c>
      <c r="N1" s="6" t="s">
        <v>15</v>
      </c>
    </row>
  </sheetData>
  <pageMargins left="0.25" right="0.25" top="0.75" bottom="0.75" header="0.3" footer="0.3"/>
  <pageSetup paperSize="9" scale="93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E922FA63-76F6-44BA-ADE7-185364E29C07}">
  <ds:schemaRefs/>
</ds:datastoreItem>
</file>

<file path=customXml/itemProps2.xml><?xml version="1.0" encoding="utf-8"?>
<ds:datastoreItem xmlns:ds="http://schemas.openxmlformats.org/officeDocument/2006/customXml" ds:itemID="{5A6568A6-910C-4EDC-A303-A9C085F0851C}">
  <ds:schemaRefs/>
</ds:datastoreItem>
</file>

<file path=customXml/itemProps3.xml><?xml version="1.0" encoding="utf-8"?>
<ds:datastoreItem xmlns:ds="http://schemas.openxmlformats.org/officeDocument/2006/customXml" ds:itemID="{68145A9C-9613-4E37-8CD8-CEA0EFE465CC}">
  <ds:schemaRefs/>
</ds:datastoreItem>
</file>

<file path=customXml/itemProps4.xml><?xml version="1.0" encoding="utf-8"?>
<ds:datastoreItem xmlns:ds="http://schemas.openxmlformats.org/officeDocument/2006/customXml" ds:itemID="{35283A27-7F90-4F59-B981-02584283ED9D}">
  <ds:schemaRefs/>
</ds:datastoreItem>
</file>

<file path=customXml/itemProps5.xml><?xml version="1.0" encoding="utf-8"?>
<ds:datastoreItem xmlns:ds="http://schemas.openxmlformats.org/officeDocument/2006/customXml" ds:itemID="{53727BAB-7EB0-48FD-80D3-41F83DD4C486}">
  <ds:schemaRefs/>
</ds:datastoreItem>
</file>

<file path=customXml/itemProps6.xml><?xml version="1.0" encoding="utf-8"?>
<ds:datastoreItem xmlns:ds="http://schemas.openxmlformats.org/officeDocument/2006/customXml" ds:itemID="{3E86DBF0-A145-4B46-87B8-42EEA5DEE395}">
  <ds:schemaRefs/>
</ds:datastoreItem>
</file>

<file path=customXml/itemProps7.xml><?xml version="1.0" encoding="utf-8"?>
<ds:datastoreItem xmlns:ds="http://schemas.openxmlformats.org/officeDocument/2006/customXml" ds:itemID="{F8D89234-0E42-4321-8A96-B778D62EF987}">
  <ds:schemaRefs/>
</ds:datastoreItem>
</file>

<file path=customXml/itemProps8.xml><?xml version="1.0" encoding="utf-8"?>
<ds:datastoreItem xmlns:ds="http://schemas.openxmlformats.org/officeDocument/2006/customXml" ds:itemID="{038B2618-B325-4B65-9C4C-03FB44402634}">
  <ds:schemaRefs/>
</ds:datastoreItem>
</file>

<file path=customXml/itemProps9.xml><?xml version="1.0" encoding="utf-8"?>
<ds:datastoreItem xmlns:ds="http://schemas.openxmlformats.org/officeDocument/2006/customXml" ds:itemID="{47A40A9C-4F12-4E45-B49F-117A1B62D6A5}">
  <ds:schemaRefs/>
</ds:datastoreItem>
</file>

<file path=customXml/itemProps10.xml><?xml version="1.0" encoding="utf-8"?>
<ds:datastoreItem xmlns:ds="http://schemas.openxmlformats.org/officeDocument/2006/customXml" ds:itemID="{6E17843F-E7AB-4897-98EB-D340791F4F45}">
  <ds:schemaRefs/>
</ds:datastoreItem>
</file>

<file path=customXml/itemProps11.xml><?xml version="1.0" encoding="utf-8"?>
<ds:datastoreItem xmlns:ds="http://schemas.openxmlformats.org/officeDocument/2006/customXml" ds:itemID="{7C03FB68-E9E8-45A2-B4B7-0464480ADE22}">
  <ds:schemaRefs/>
</ds:datastoreItem>
</file>

<file path=customXml/itemProps12.xml><?xml version="1.0" encoding="utf-8"?>
<ds:datastoreItem xmlns:ds="http://schemas.openxmlformats.org/officeDocument/2006/customXml" ds:itemID="{8FCED56B-3364-4EF9-927C-33CAAE5B5170}">
  <ds:schemaRefs/>
</ds:datastoreItem>
</file>

<file path=customXml/itemProps13.xml><?xml version="1.0" encoding="utf-8"?>
<ds:datastoreItem xmlns:ds="http://schemas.openxmlformats.org/officeDocument/2006/customXml" ds:itemID="{7ACC2BAF-69CC-4F2A-BE7C-6B41F1D33DAD}">
  <ds:schemaRefs/>
</ds:datastoreItem>
</file>

<file path=customXml/itemProps14.xml><?xml version="1.0" encoding="utf-8"?>
<ds:datastoreItem xmlns:ds="http://schemas.openxmlformats.org/officeDocument/2006/customXml" ds:itemID="{DA8167F9-C65F-4500-85B8-3B593276DEE3}">
  <ds:schemaRefs/>
</ds:datastoreItem>
</file>

<file path=customXml/itemProps15.xml><?xml version="1.0" encoding="utf-8"?>
<ds:datastoreItem xmlns:ds="http://schemas.openxmlformats.org/officeDocument/2006/customXml" ds:itemID="{97E5367D-681F-4B3C-80D3-C9B78489199D}">
  <ds:schemaRefs/>
</ds:datastoreItem>
</file>

<file path=customXml/itemProps16.xml><?xml version="1.0" encoding="utf-8"?>
<ds:datastoreItem xmlns:ds="http://schemas.openxmlformats.org/officeDocument/2006/customXml" ds:itemID="{074B5F43-3AD4-4F78-A867-F245425B9C7D}">
  <ds:schemaRefs/>
</ds:datastoreItem>
</file>

<file path=customXml/itemProps17.xml><?xml version="1.0" encoding="utf-8"?>
<ds:datastoreItem xmlns:ds="http://schemas.openxmlformats.org/officeDocument/2006/customXml" ds:itemID="{0020D6C0-51A6-4CDA-958C-677445EA4CE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TABLAS</vt:lpstr>
      <vt:lpstr>presupuesto</vt:lpstr>
      <vt:lpstr>IMPRIMIR</vt:lpstr>
      <vt:lpstr>IMPRIMIR_VEHICULO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2023-08-05T00:01:22Z</cp:lastPrinted>
  <dcterms:created xsi:type="dcterms:W3CDTF">2023-01-18T14:38:13Z</dcterms:created>
  <dcterms:modified xsi:type="dcterms:W3CDTF">2023-08-17T17:35:26Z</dcterms:modified>
</cp:coreProperties>
</file>